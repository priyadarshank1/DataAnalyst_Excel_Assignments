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c33e2cbb12b222b/Desktop/self/Data analysis- Excelr/Excel/solved assignments excel/"/>
    </mc:Choice>
  </mc:AlternateContent>
  <xr:revisionPtr revIDLastSave="0" documentId="8_{EACB5DE9-97F2-4D46-9E6C-9C45B08DA509}" xr6:coauthVersionLast="47" xr6:coauthVersionMax="47" xr10:uidLastSave="{00000000-0000-0000-0000-000000000000}"/>
  <bookViews>
    <workbookView xWindow="4770" yWindow="4800" windowWidth="14400" windowHeight="6000" activeTab="1" xr2:uid="{00000000-000D-0000-FFFF-FFFF00000000}"/>
  </bookViews>
  <sheets>
    <sheet name="Date1" sheetId="1" r:id="rId1"/>
    <sheet name="Date2" sheetId="2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6" roundtripDataSignature="AMtx7mj6G2gzh52Wriw58vekOT/ZOSgyvg=="/>
    </ext>
  </extLst>
</workbook>
</file>

<file path=xl/calcChain.xml><?xml version="1.0" encoding="utf-8"?>
<calcChain xmlns="http://schemas.openxmlformats.org/spreadsheetml/2006/main">
  <c r="C4" i="2" l="1"/>
  <c r="F8" i="2"/>
  <c r="F9" i="2"/>
  <c r="F10" i="2"/>
  <c r="F11" i="2"/>
  <c r="F12" i="2"/>
  <c r="F13" i="2"/>
  <c r="F14" i="2"/>
  <c r="F15" i="2"/>
  <c r="F16" i="2"/>
  <c r="F17" i="2"/>
  <c r="F18" i="2"/>
  <c r="F7" i="2"/>
  <c r="G8" i="2"/>
  <c r="G9" i="2"/>
  <c r="G10" i="2"/>
  <c r="G11" i="2"/>
  <c r="G12" i="2"/>
  <c r="G13" i="2"/>
  <c r="G14" i="2"/>
  <c r="G15" i="2"/>
  <c r="G16" i="2"/>
  <c r="G17" i="2"/>
  <c r="G18" i="2"/>
  <c r="G7" i="2"/>
  <c r="E8" i="2"/>
  <c r="E9" i="2"/>
  <c r="E10" i="2"/>
  <c r="E11" i="2"/>
  <c r="E12" i="2"/>
  <c r="E13" i="2"/>
  <c r="E14" i="2"/>
  <c r="E15" i="2"/>
  <c r="E16" i="2"/>
  <c r="E17" i="2"/>
  <c r="E18" i="2"/>
  <c r="E7" i="2"/>
  <c r="D8" i="2"/>
  <c r="D9" i="2"/>
  <c r="D10" i="2"/>
  <c r="D11" i="2"/>
  <c r="D12" i="2"/>
  <c r="D13" i="2"/>
  <c r="D14" i="2"/>
  <c r="D15" i="2"/>
  <c r="D16" i="2"/>
  <c r="D17" i="2"/>
  <c r="D18" i="2"/>
  <c r="D7" i="2"/>
  <c r="C3" i="2"/>
  <c r="G3" i="2" a="1"/>
  <c r="G4" i="2" a="1"/>
  <c r="G3" i="2" l="1"/>
  <c r="G4" i="2"/>
  <c r="I7" i="2"/>
  <c r="I8" i="2"/>
  <c r="I9" i="2"/>
  <c r="I10" i="2"/>
  <c r="I11" i="2"/>
  <c r="I12" i="2"/>
  <c r="I13" i="2"/>
  <c r="I14" i="2"/>
  <c r="I15" i="2"/>
  <c r="I16" i="2"/>
  <c r="I17" i="2"/>
  <c r="I18" i="2"/>
  <c r="H7" i="2"/>
  <c r="H8" i="2"/>
  <c r="H9" i="2"/>
  <c r="H10" i="2"/>
  <c r="H11" i="2"/>
  <c r="H12" i="2"/>
  <c r="H13" i="2"/>
  <c r="H14" i="2"/>
  <c r="H15" i="2"/>
  <c r="H16" i="2"/>
  <c r="H17" i="2"/>
  <c r="H1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<sst xmlns="http://schemas.openxmlformats.org/spreadsheetml/2006/main" count="36" uniqueCount="34">
  <si>
    <t>Q. Convert the date from first format to the second format and sort in ascending order.</t>
  </si>
  <si>
    <t>Date (yyyymmdd.000)</t>
  </si>
  <si>
    <t>Date (mm/dd/yyyy)</t>
  </si>
  <si>
    <t>Current Date</t>
  </si>
  <si>
    <t>Last Modified Date</t>
  </si>
  <si>
    <t>Current Time</t>
  </si>
  <si>
    <t>Last Modified Time</t>
  </si>
  <si>
    <t>Name</t>
  </si>
  <si>
    <t>Birthdate</t>
  </si>
  <si>
    <t>Day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</si>
  <si>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</si>
  <si>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</si>
  <si>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</si>
  <si>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</si>
  <si>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</si>
  <si>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</si>
  <si>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</si>
  <si>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</si>
  <si>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</si>
  <si>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</si>
  <si>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</si>
  <si>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</si>
  <si>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</si>
  <si>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</si>
  <si>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</si>
  <si>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</si>
  <si>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</si>
  <si>
    <t>06/23/2007</t>
  </si>
  <si>
    <t>06/24/2007</t>
  </si>
  <si>
    <t>05/23/2007</t>
  </si>
  <si>
    <t>05/19/2007</t>
  </si>
  <si>
    <t>04/19/2008</t>
  </si>
  <si>
    <t>10/17/2007</t>
  </si>
  <si>
    <t>12/20/2005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</si>
</sst>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 x14ac:knownFonts="1">
    <font>
      <sz val="11"/>
      <color theme="1"/>
      <name val="Calibri"/>
      <scheme val="minor"/>
    </font>
    <font>
      <b/>
      <sz val="10"/>
      <color rgb="FFFF0000"/>
      <name val="Arial"/>
      <family val="2"/>
    </font>
    <font>
      <b/>
      <sz val="10"/>
      <color rgb="FFFFFFFF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80"/>
        <bgColor rgb="FF000080"/>
      </patternFill>
    </fill>
    <fill>
      <patternFill patternType="solid">
        <fgColor rgb="FFFFFF99"/>
        <bgColor rgb="FFFFFF99"/>
      </patternFill>
    </fill>
    <fill>
      <patternFill patternType="solid">
        <fgColor rgb="FFA8D08D"/>
        <bgColor rgb="FFA8D08D"/>
      </patternFill>
    </fill>
    <fill>
      <patternFill patternType="solid">
        <fgColor rgb="FFFFE598"/>
        <bgColor rgb="FFFFE598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3" fillId="3" borderId="3" xfId="0" applyFont="1" applyFill="1" applyBorder="1" applyAlignment="1">
      <alignment horizontal="right"/>
    </xf>
    <xf numFmtId="0" fontId="3" fillId="3" borderId="4" xfId="0" applyFont="1" applyFill="1" applyBorder="1" applyAlignment="1">
      <alignment horizontal="right"/>
    </xf>
    <xf numFmtId="0" fontId="4" fillId="4" borderId="1" xfId="0" applyFont="1" applyFill="1" applyBorder="1"/>
    <xf numFmtId="0" fontId="3" fillId="5" borderId="1" xfId="0" applyFont="1" applyFill="1" applyBorder="1"/>
    <xf numFmtId="0" fontId="3" fillId="0" borderId="1" xfId="0" quotePrefix="1" applyFont="1" applyBorder="1"/>
    <xf numFmtId="15" fontId="3" fillId="0" borderId="1" xfId="0" applyNumberFormat="1" applyFont="1" applyBorder="1" applyAlignment="1">
      <alignment horizontal="center"/>
    </xf>
    <xf numFmtId="14" fontId="0" fillId="0" borderId="0" xfId="0" applyNumberFormat="1"/>
    <xf numFmtId="14" fontId="2" fillId="2" borderId="1" xfId="0" applyNumberFormat="1" applyFont="1" applyFill="1" applyBorder="1"/>
    <xf numFmtId="14" fontId="3" fillId="3" borderId="2" xfId="0" applyNumberFormat="1" applyFont="1" applyFill="1" applyBorder="1" applyAlignment="1">
      <alignment horizontal="right"/>
    </xf>
    <xf numFmtId="14" fontId="3" fillId="3" borderId="3" xfId="0" applyNumberFormat="1" applyFont="1" applyFill="1" applyBorder="1" applyAlignment="1">
      <alignment horizontal="right"/>
    </xf>
    <xf numFmtId="14" fontId="5" fillId="3" borderId="3" xfId="0" applyNumberFormat="1" applyFont="1" applyFill="1" applyBorder="1" applyAlignment="1">
      <alignment horizontal="right"/>
    </xf>
    <xf numFmtId="14" fontId="5" fillId="3" borderId="4" xfId="0" applyNumberFormat="1" applyFont="1" applyFill="1" applyBorder="1" applyAlignment="1">
      <alignment horizontal="right"/>
    </xf>
    <xf numFmtId="0" fontId="3" fillId="3" borderId="2" xfId="0" applyFont="1" applyFill="1" applyBorder="1" applyAlignment="1">
      <alignment horizontal="right"/>
    </xf>
    <xf numFmtId="14" fontId="3" fillId="5" borderId="1" xfId="0" applyNumberFormat="1" applyFont="1" applyFill="1" applyBorder="1"/>
    <xf numFmtId="22" fontId="3" fillId="5" borderId="1" xfId="0" applyNumberFormat="1" applyFont="1" applyFill="1" applyBorder="1"/>
    <xf numFmtId="164" fontId="3" fillId="5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22</xdr:row>
      <xdr:rowOff>0</xdr:rowOff>
    </xdr:from>
    <xdr:to>
      <xdr:col>12</xdr:col>
      <xdr:colOff>445108</xdr:colOff>
      <xdr:row>33</xdr:row>
      <xdr:rowOff>69954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2EF11A-70FA-4EB8-3E26-922C9FC0F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3911600"/>
          <a:ext cx="11824308" cy="202575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12</xdr:col>
      <xdr:colOff>330802</xdr:colOff>
      <xdr:row>46</xdr:row>
      <xdr:rowOff>38193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54DE51A-693C-6706-15EA-0008EBFF7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6400800"/>
          <a:ext cx="11710002" cy="18161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1000"/>
  <sheetViews>
    <sheetView workbookViewId="0">
      <selection activeCell="C13" sqref="C13"/>
    </sheetView>
  </sheetViews>
  <sheetFormatPr defaultColWidth="14.453125" defaultRowHeight="15" customHeight="1" x14ac:dyDescent="0.35"/>
  <cols>
    <col min="1" max="1" width="8.7265625" customWidth="1"/>
    <col min="2" max="2" width="20.26953125" customWidth="1"/>
    <col min="3" max="3" width="21.36328125" style="9" customWidth="1"/>
    <col min="4" max="25" width="8.7265625" customWidth="1"/>
  </cols>
  <sheetData>
    <row r="1" spans="2:3" ht="14.25" customHeight="1" x14ac:dyDescent="0.35"/>
    <row r="2" spans="2:3" ht="14.25" customHeight="1" x14ac:dyDescent="0.35"/>
    <row r="3" spans="2:3" ht="14.25" customHeight="1" x14ac:dyDescent="0.35">
      <c r="B3" s="1" t="s">
        <v>0</v>
      </c>
    </row>
    <row r="4" spans="2:3" ht="14.25" customHeight="1" x14ac:dyDescent="0.35"/>
    <row r="5" spans="2:3" ht="14.25" customHeight="1" x14ac:dyDescent="0.35">
      <c r="B5" s="2" t="s">
        <v>1</v>
      </c>
      <c r="C5" s="10" t="s">
        <v>2</v>
      </c>
    </row>
    <row r="6" spans="2:3" ht="14.25" customHeight="1" x14ac:dyDescent="0.35">
      <c r="B6" s="15">
        <v>20061202</v>
      </c>
      <c r="C6" s="11">
        <v>38760</v>
      </c>
    </row>
    <row r="7" spans="2:3" ht="14.25" customHeight="1" x14ac:dyDescent="0.35">
      <c r="B7" s="3">
        <v>20070112</v>
      </c>
      <c r="C7" s="12">
        <v>39417</v>
      </c>
    </row>
    <row r="8" spans="2:3" ht="14.25" customHeight="1" x14ac:dyDescent="0.35">
      <c r="B8" s="3">
        <v>20080419</v>
      </c>
      <c r="C8" s="13" t="s">
        <v>31</v>
      </c>
    </row>
    <row r="9" spans="2:3" ht="14.25" customHeight="1" x14ac:dyDescent="0.35">
      <c r="B9" s="3">
        <v>20070519</v>
      </c>
      <c r="C9" s="13" t="s">
        <v>30</v>
      </c>
    </row>
    <row r="10" spans="2:3" ht="14.25" customHeight="1" x14ac:dyDescent="0.35">
      <c r="B10" s="3">
        <v>20070523</v>
      </c>
      <c r="C10" s="13" t="s">
        <v>29</v>
      </c>
    </row>
    <row r="11" spans="2:3" ht="14.25" customHeight="1" x14ac:dyDescent="0.35">
      <c r="B11" s="3">
        <v>20070623</v>
      </c>
      <c r="C11" s="13" t="s">
        <v>27</v>
      </c>
    </row>
    <row r="12" spans="2:3" ht="14.25" customHeight="1" x14ac:dyDescent="0.35">
      <c r="B12" s="3">
        <v>20070624</v>
      </c>
      <c r="C12" s="13" t="s">
        <v>28</v>
      </c>
    </row>
    <row r="13" spans="2:3" ht="14.25" customHeight="1" x14ac:dyDescent="0.35">
      <c r="B13" s="3">
        <v>20071017</v>
      </c>
      <c r="C13" s="13" t="s">
        <v>32</v>
      </c>
    </row>
    <row r="14" spans="2:3" ht="14.25" customHeight="1" x14ac:dyDescent="0.35">
      <c r="B14" s="4">
        <v>20051220</v>
      </c>
      <c r="C14" s="14" t="s">
        <v>33</v>
      </c>
    </row>
    <row r="15" spans="2:3" ht="14.25" customHeight="1" x14ac:dyDescent="0.35"/>
    <row r="16" spans="2:3" ht="14.25" customHeight="1" x14ac:dyDescent="0.35"/>
    <row r="17" ht="14.25" customHeight="1" x14ac:dyDescent="0.35"/>
    <row r="18" ht="14.25" customHeight="1" x14ac:dyDescent="0.35"/>
    <row r="19" ht="14.25" customHeight="1" x14ac:dyDescent="0.35"/>
    <row r="20" ht="14.25" customHeight="1" x14ac:dyDescent="0.35"/>
    <row r="21" ht="14.25" customHeight="1" x14ac:dyDescent="0.35"/>
    <row r="22" ht="14.25" customHeight="1" x14ac:dyDescent="0.35"/>
    <row r="23" ht="14.25" customHeight="1" x14ac:dyDescent="0.35"/>
    <row r="24" ht="14.25" customHeight="1" x14ac:dyDescent="0.35"/>
    <row r="25" ht="14.25" customHeight="1" x14ac:dyDescent="0.35"/>
    <row r="26" ht="14.25" customHeight="1" x14ac:dyDescent="0.35"/>
    <row r="27" ht="14.25" customHeight="1" x14ac:dyDescent="0.35"/>
    <row r="28" ht="14.25" customHeight="1" x14ac:dyDescent="0.35"/>
    <row r="29" ht="14.25" customHeight="1" x14ac:dyDescent="0.35"/>
    <row r="30" ht="14.25" customHeight="1" x14ac:dyDescent="0.35"/>
    <row r="31" ht="14.25" customHeight="1" x14ac:dyDescent="0.35"/>
    <row r="3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phoneticPr fontId="6" type="noConversion"/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1000"/>
  <sheetViews>
    <sheetView tabSelected="1" topLeftCell="A19" workbookViewId="0">
      <selection activeCell="G5" sqref="G5"/>
    </sheetView>
  </sheetViews>
  <sheetFormatPr defaultColWidth="14.453125" defaultRowHeight="15" customHeight="1" x14ac:dyDescent="0.35"/>
  <cols>
    <col min="1" max="1" width="8.7265625" customWidth="1"/>
    <col min="2" max="2" width="19.54296875" customWidth="1"/>
    <col min="3" max="3" width="16.453125" customWidth="1"/>
    <col min="4" max="4" width="8.7265625" customWidth="1"/>
    <col min="5" max="5" width="15.7265625" customWidth="1"/>
    <col min="6" max="6" width="16.7265625" customWidth="1"/>
    <col min="7" max="7" width="18.26953125" customWidth="1"/>
    <col min="8" max="8" width="12" customWidth="1"/>
    <col min="9" max="9" width="29.26953125" customWidth="1"/>
    <col min="10" max="26" width="8.7265625" customWidth="1"/>
  </cols>
  <sheetData>
    <row r="1" spans="2:9" ht="14.25" customHeight="1" x14ac:dyDescent="0.35"/>
    <row r="2" spans="2:9" ht="14.25" customHeight="1" x14ac:dyDescent="0.35"/>
    <row r="3" spans="2:9" ht="14.25" customHeight="1" x14ac:dyDescent="0.35">
      <c r="B3" s="5" t="s">
        <v>3</v>
      </c>
      <c r="C3" s="16">
        <f ca="1">TODAY()</f>
        <v>45309</v>
      </c>
      <c r="F3" s="5" t="s">
        <v>4</v>
      </c>
      <c r="G3" s="16" cm="1">
        <f t="array" ref="G3">VBAProject.Last_Modified_Date_code.LastModified()</f>
        <v>45309.753009259257</v>
      </c>
    </row>
    <row r="4" spans="2:9" ht="14.25" customHeight="1" x14ac:dyDescent="0.35">
      <c r="B4" s="5" t="s">
        <v>5</v>
      </c>
      <c r="C4" s="17">
        <f ca="1">NOW()</f>
        <v>45309.753044791665</v>
      </c>
      <c r="F4" s="5" t="s">
        <v>6</v>
      </c>
      <c r="G4" s="18" cm="1">
        <f t="array" ref="G4">VBAProject.Last_Modifed_Time_code.LastModified()</f>
        <v>0.75277777777777777</v>
      </c>
    </row>
    <row r="5" spans="2:9" ht="14.25" customHeight="1" x14ac:dyDescent="0.35"/>
    <row r="6" spans="2:9" ht="14.25" customHeight="1" x14ac:dyDescent="0.35">
      <c r="B6" s="5" t="s">
        <v>7</v>
      </c>
      <c r="C6" s="5" t="s">
        <v>8</v>
      </c>
      <c r="D6" s="5" t="s">
        <v>9</v>
      </c>
      <c r="E6" s="5" t="s">
        <v>10</v>
      </c>
      <c r="F6" s="5" t="s">
        <v>11</v>
      </c>
      <c r="G6" s="5" t="s">
        <v>12</v>
      </c>
      <c r="H6" s="5" t="s">
        <v>13</v>
      </c>
      <c r="I6" s="5" t="s">
        <v>14</v>
      </c>
    </row>
    <row r="7" spans="2:9" ht="14.25" customHeight="1" x14ac:dyDescent="0.35">
      <c r="B7" s="7" t="s">
        <v>15</v>
      </c>
      <c r="C7" s="8">
        <v>36478</v>
      </c>
      <c r="D7" s="6">
        <f>DAY(C7)</f>
        <v>14</v>
      </c>
      <c r="E7" s="6">
        <f>MONTH(C7)</f>
        <v>11</v>
      </c>
      <c r="F7" s="6" t="str">
        <f>TEXT(C7,"MMM")</f>
        <v>Nov</v>
      </c>
      <c r="G7" s="6">
        <f>YEAR(C7)</f>
        <v>1999</v>
      </c>
      <c r="H7" s="6">
        <f ca="1">DATEDIF(C7,$C$3,"Y")</f>
        <v>24</v>
      </c>
      <c r="I7" s="6" t="str">
        <f ca="1">_xlfn.CONCAT(DATEDIF(C7,$C$3,"Y")&amp;" years"," ",DATEDIF(C7,$C$3,"YM")&amp;" months"," ",DATEDIF(C7,$C$3,"MD")&amp;" days")</f>
        <v>24 years 2 months 4 days</v>
      </c>
    </row>
    <row r="8" spans="2:9" ht="14.25" customHeight="1" x14ac:dyDescent="0.35">
      <c r="B8" s="7" t="s">
        <v>16</v>
      </c>
      <c r="C8" s="8">
        <v>37027</v>
      </c>
      <c r="D8" s="6">
        <f t="shared" ref="D8:D18" si="0">DAY(C8)</f>
        <v>16</v>
      </c>
      <c r="E8" s="6">
        <f t="shared" ref="E8:E18" si="1">MONTH(C8)</f>
        <v>5</v>
      </c>
      <c r="F8" s="6" t="str">
        <f t="shared" ref="F8:F18" si="2">TEXT(C8,"MMM")</f>
        <v>May</v>
      </c>
      <c r="G8" s="6">
        <f t="shared" ref="G8:G18" si="3">YEAR(C8)</f>
        <v>2001</v>
      </c>
      <c r="H8" s="6">
        <f t="shared" ref="H8:H18" ca="1" si="4">DATEDIF(C8,$C$3,"Y")</f>
        <v>22</v>
      </c>
      <c r="I8" s="6" t="str">
        <f t="shared" ref="I8:I18" ca="1" si="5">_xlfn.CONCAT(DATEDIF(C8,$C$3,"Y")&amp;" years"," ",DATEDIF(C8,$C$3,"YM")&amp;" months"," ",DATEDIF(C8,$C$3,"MD")&amp;" days")</f>
        <v>22 years 8 months 2 days</v>
      </c>
    </row>
    <row r="9" spans="2:9" ht="14.25" customHeight="1" x14ac:dyDescent="0.35">
      <c r="B9" s="7" t="s">
        <v>17</v>
      </c>
      <c r="C9" s="8">
        <v>37946</v>
      </c>
      <c r="D9" s="6">
        <f t="shared" si="0"/>
        <v>21</v>
      </c>
      <c r="E9" s="6">
        <f t="shared" si="1"/>
        <v>11</v>
      </c>
      <c r="F9" s="6" t="str">
        <f t="shared" si="2"/>
        <v>Nov</v>
      </c>
      <c r="G9" s="6">
        <f t="shared" si="3"/>
        <v>2003</v>
      </c>
      <c r="H9" s="6">
        <f t="shared" ca="1" si="4"/>
        <v>20</v>
      </c>
      <c r="I9" s="6" t="str">
        <f t="shared" ca="1" si="5"/>
        <v>20 years 1 months 28 days</v>
      </c>
    </row>
    <row r="10" spans="2:9" ht="14.25" customHeight="1" x14ac:dyDescent="0.35">
      <c r="B10" s="7" t="s">
        <v>18</v>
      </c>
      <c r="C10" s="8">
        <v>38113</v>
      </c>
      <c r="D10" s="6">
        <f t="shared" si="0"/>
        <v>6</v>
      </c>
      <c r="E10" s="6">
        <f t="shared" si="1"/>
        <v>5</v>
      </c>
      <c r="F10" s="6" t="str">
        <f t="shared" si="2"/>
        <v>May</v>
      </c>
      <c r="G10" s="6">
        <f t="shared" si="3"/>
        <v>2004</v>
      </c>
      <c r="H10" s="6">
        <f t="shared" ca="1" si="4"/>
        <v>19</v>
      </c>
      <c r="I10" s="6" t="str">
        <f t="shared" ca="1" si="5"/>
        <v>19 years 8 months 12 days</v>
      </c>
    </row>
    <row r="11" spans="2:9" ht="14.25" customHeight="1" x14ac:dyDescent="0.35">
      <c r="B11" s="7" t="s">
        <v>19</v>
      </c>
      <c r="C11" s="8">
        <v>38449</v>
      </c>
      <c r="D11" s="6">
        <f t="shared" si="0"/>
        <v>7</v>
      </c>
      <c r="E11" s="6">
        <f t="shared" si="1"/>
        <v>4</v>
      </c>
      <c r="F11" s="6" t="str">
        <f t="shared" si="2"/>
        <v>Apr</v>
      </c>
      <c r="G11" s="6">
        <f t="shared" si="3"/>
        <v>2005</v>
      </c>
      <c r="H11" s="6">
        <f t="shared" ca="1" si="4"/>
        <v>18</v>
      </c>
      <c r="I11" s="6" t="str">
        <f t="shared" ca="1" si="5"/>
        <v>18 years 9 months 11 days</v>
      </c>
    </row>
    <row r="12" spans="2:9" ht="14.25" customHeight="1" x14ac:dyDescent="0.35">
      <c r="B12" s="7" t="s">
        <v>20</v>
      </c>
      <c r="C12" s="8">
        <v>39846</v>
      </c>
      <c r="D12" s="6">
        <f t="shared" si="0"/>
        <v>2</v>
      </c>
      <c r="E12" s="6">
        <f t="shared" si="1"/>
        <v>2</v>
      </c>
      <c r="F12" s="6" t="str">
        <f t="shared" si="2"/>
        <v>Feb</v>
      </c>
      <c r="G12" s="6">
        <f t="shared" si="3"/>
        <v>2009</v>
      </c>
      <c r="H12" s="6">
        <f t="shared" ca="1" si="4"/>
        <v>14</v>
      </c>
      <c r="I12" s="6" t="str">
        <f t="shared" ca="1" si="5"/>
        <v>14 years 11 months 16 days</v>
      </c>
    </row>
    <row r="13" spans="2:9" ht="14.25" customHeight="1" x14ac:dyDescent="0.35">
      <c r="B13" s="7" t="s">
        <v>21</v>
      </c>
      <c r="C13" s="8">
        <v>40330</v>
      </c>
      <c r="D13" s="6">
        <f t="shared" si="0"/>
        <v>1</v>
      </c>
      <c r="E13" s="6">
        <f t="shared" si="1"/>
        <v>6</v>
      </c>
      <c r="F13" s="6" t="str">
        <f t="shared" si="2"/>
        <v>Jun</v>
      </c>
      <c r="G13" s="6">
        <f t="shared" si="3"/>
        <v>2010</v>
      </c>
      <c r="H13" s="6">
        <f t="shared" ca="1" si="4"/>
        <v>13</v>
      </c>
      <c r="I13" s="6" t="str">
        <f t="shared" ca="1" si="5"/>
        <v>13 years 7 months 17 days</v>
      </c>
    </row>
    <row r="14" spans="2:9" ht="14.25" customHeight="1" x14ac:dyDescent="0.35">
      <c r="B14" s="7" t="s">
        <v>22</v>
      </c>
      <c r="C14" s="8">
        <v>40495</v>
      </c>
      <c r="D14" s="6">
        <f t="shared" si="0"/>
        <v>13</v>
      </c>
      <c r="E14" s="6">
        <f t="shared" si="1"/>
        <v>11</v>
      </c>
      <c r="F14" s="6" t="str">
        <f t="shared" si="2"/>
        <v>Nov</v>
      </c>
      <c r="G14" s="6">
        <f t="shared" si="3"/>
        <v>2010</v>
      </c>
      <c r="H14" s="6">
        <f t="shared" ca="1" si="4"/>
        <v>13</v>
      </c>
      <c r="I14" s="6" t="str">
        <f t="shared" ca="1" si="5"/>
        <v>13 years 2 months 5 days</v>
      </c>
    </row>
    <row r="15" spans="2:9" ht="14.25" customHeight="1" x14ac:dyDescent="0.35">
      <c r="B15" s="7" t="s">
        <v>23</v>
      </c>
      <c r="C15" s="8">
        <v>40574</v>
      </c>
      <c r="D15" s="6">
        <f t="shared" si="0"/>
        <v>31</v>
      </c>
      <c r="E15" s="6">
        <f t="shared" si="1"/>
        <v>1</v>
      </c>
      <c r="F15" s="6" t="str">
        <f t="shared" si="2"/>
        <v>Jan</v>
      </c>
      <c r="G15" s="6">
        <f t="shared" si="3"/>
        <v>2011</v>
      </c>
      <c r="H15" s="6">
        <f t="shared" ca="1" si="4"/>
        <v>12</v>
      </c>
      <c r="I15" s="6" t="str">
        <f t="shared" ca="1" si="5"/>
        <v>12 years 11 months 18 days</v>
      </c>
    </row>
    <row r="16" spans="2:9" ht="14.25" customHeight="1" x14ac:dyDescent="0.35">
      <c r="B16" s="7" t="s">
        <v>24</v>
      </c>
      <c r="C16" s="8">
        <v>41400</v>
      </c>
      <c r="D16" s="6">
        <f t="shared" si="0"/>
        <v>6</v>
      </c>
      <c r="E16" s="6">
        <f t="shared" si="1"/>
        <v>5</v>
      </c>
      <c r="F16" s="6" t="str">
        <f t="shared" si="2"/>
        <v>May</v>
      </c>
      <c r="G16" s="6">
        <f t="shared" si="3"/>
        <v>2013</v>
      </c>
      <c r="H16" s="6">
        <f t="shared" ca="1" si="4"/>
        <v>10</v>
      </c>
      <c r="I16" s="6" t="str">
        <f t="shared" ca="1" si="5"/>
        <v>10 years 8 months 12 days</v>
      </c>
    </row>
    <row r="17" spans="2:9" ht="14.25" customHeight="1" x14ac:dyDescent="0.35">
      <c r="B17" s="7" t="s">
        <v>25</v>
      </c>
      <c r="C17" s="8">
        <v>42027</v>
      </c>
      <c r="D17" s="6">
        <f t="shared" si="0"/>
        <v>23</v>
      </c>
      <c r="E17" s="6">
        <f t="shared" si="1"/>
        <v>1</v>
      </c>
      <c r="F17" s="6" t="str">
        <f t="shared" si="2"/>
        <v>Jan</v>
      </c>
      <c r="G17" s="6">
        <f t="shared" si="3"/>
        <v>2015</v>
      </c>
      <c r="H17" s="6">
        <f t="shared" ca="1" si="4"/>
        <v>8</v>
      </c>
      <c r="I17" s="6" t="str">
        <f t="shared" ca="1" si="5"/>
        <v>8 years 11 months 26 days</v>
      </c>
    </row>
    <row r="18" spans="2:9" ht="14.25" customHeight="1" x14ac:dyDescent="0.35">
      <c r="B18" s="7" t="s">
        <v>26</v>
      </c>
      <c r="C18" s="8">
        <v>42124</v>
      </c>
      <c r="D18" s="6">
        <f t="shared" si="0"/>
        <v>30</v>
      </c>
      <c r="E18" s="6">
        <f t="shared" si="1"/>
        <v>4</v>
      </c>
      <c r="F18" s="6" t="str">
        <f t="shared" si="2"/>
        <v>Apr</v>
      </c>
      <c r="G18" s="6">
        <f t="shared" si="3"/>
        <v>2015</v>
      </c>
      <c r="H18" s="6">
        <f t="shared" ca="1" si="4"/>
        <v>8</v>
      </c>
      <c r="I18" s="6" t="str">
        <f t="shared" ca="1" si="5"/>
        <v>8 years 8 months 19 days</v>
      </c>
    </row>
    <row r="19" spans="2:9" ht="14.25" customHeight="1" x14ac:dyDescent="0.35"/>
    <row r="20" spans="2:9" ht="14.25" customHeight="1" x14ac:dyDescent="0.35"/>
    <row r="21" spans="2:9" ht="14.25" customHeight="1" x14ac:dyDescent="0.35"/>
    <row r="22" spans="2:9" ht="14.25" customHeight="1" x14ac:dyDescent="0.35">
      <c r="B22" t="s">
        <v>6</v>
      </c>
    </row>
    <row r="23" spans="2:9" ht="14.25" customHeight="1" x14ac:dyDescent="0.35"/>
    <row r="24" spans="2:9" ht="14.25" customHeight="1" x14ac:dyDescent="0.35"/>
    <row r="25" spans="2:9" ht="14.25" customHeight="1" x14ac:dyDescent="0.35"/>
    <row r="26" spans="2:9" ht="14.25" customHeight="1" x14ac:dyDescent="0.35"/>
    <row r="27" spans="2:9" ht="14.25" customHeight="1" x14ac:dyDescent="0.35"/>
    <row r="28" spans="2:9" ht="14.25" customHeight="1" x14ac:dyDescent="0.35"/>
    <row r="29" spans="2:9" ht="14.25" customHeight="1" x14ac:dyDescent="0.35"/>
    <row r="30" spans="2:9" ht="14.25" customHeight="1" x14ac:dyDescent="0.35"/>
    <row r="31" spans="2:9" ht="14.25" customHeight="1" x14ac:dyDescent="0.35"/>
    <row r="32" spans="2:9" ht="14.25" customHeight="1" x14ac:dyDescent="0.35"/>
    <row r="33" spans="2:2" ht="14.25" customHeight="1" x14ac:dyDescent="0.35"/>
    <row r="34" spans="2:2" ht="14.25" customHeight="1" x14ac:dyDescent="0.35"/>
    <row r="35" spans="2:2" ht="14.25" customHeight="1" x14ac:dyDescent="0.35"/>
    <row r="36" spans="2:2" ht="14.25" customHeight="1" x14ac:dyDescent="0.35">
      <c r="B36" t="s">
        <v>4</v>
      </c>
    </row>
    <row r="37" spans="2:2" ht="14.25" customHeight="1" x14ac:dyDescent="0.35"/>
    <row r="38" spans="2:2" ht="14.25" customHeight="1" x14ac:dyDescent="0.35"/>
    <row r="39" spans="2:2" ht="14.25" customHeight="1" x14ac:dyDescent="0.35"/>
    <row r="40" spans="2:2" ht="14.25" customHeight="1" x14ac:dyDescent="0.35"/>
    <row r="41" spans="2:2" ht="14.25" customHeight="1" x14ac:dyDescent="0.35"/>
    <row r="42" spans="2:2" ht="14.25" customHeight="1" x14ac:dyDescent="0.35"/>
    <row r="43" spans="2:2" ht="14.25" customHeight="1" x14ac:dyDescent="0.35"/>
    <row r="44" spans="2:2" ht="14.25" customHeight="1" x14ac:dyDescent="0.35"/>
    <row r="45" spans="2:2" ht="14.25" customHeight="1" x14ac:dyDescent="0.35"/>
    <row r="46" spans="2:2" ht="14.25" customHeight="1" x14ac:dyDescent="0.35"/>
    <row r="47" spans="2:2" ht="14.25" customHeight="1" x14ac:dyDescent="0.35"/>
    <row r="48" spans="2:2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Date1</vt:lpstr>
      <vt:lpstr>Date2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Shruti Nigam</dc:creator>
  <cp:keywords/>
  <dc:description/>
  <cp:lastModifiedBy>Priyadarshan K</cp:lastModifiedBy>
  <cp:revision/>
  <dcterms:created xsi:type="dcterms:W3CDTF">2022-07-28T07:24:11Z</dcterms:created>
  <dcterms:modified xsi:type="dcterms:W3CDTF">2024-01-18T12:35:01Z</dcterms:modified>
  <cp:category/>
  <cp:contentStatus/>
</cp:coreProperties>
</file>